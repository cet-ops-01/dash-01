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P Tracker" sheetId="1" r:id="rId5"/>
    <sheet state="visible" name="Legend" sheetId="2" r:id="rId6"/>
  </sheets>
  <definedNames/>
  <calcPr/>
</workbook>
</file>

<file path=xl/sharedStrings.xml><?xml version="1.0" encoding="utf-8"?>
<sst xmlns="http://schemas.openxmlformats.org/spreadsheetml/2006/main" count="239" uniqueCount="132">
  <si>
    <t>Site</t>
  </si>
  <si>
    <t>Address</t>
  </si>
  <si>
    <t>City</t>
  </si>
  <si>
    <t>State</t>
  </si>
  <si>
    <t>Site Code</t>
  </si>
  <si>
    <t>Space Type</t>
  </si>
  <si>
    <t>Eng Proposal #</t>
  </si>
  <si>
    <t>Eng PO Status</t>
  </si>
  <si>
    <t>Install Proposal #</t>
  </si>
  <si>
    <t>Install PO Status</t>
  </si>
  <si>
    <t>ENG Proposal</t>
  </si>
  <si>
    <t>Plans Received</t>
  </si>
  <si>
    <t>ENG PO</t>
  </si>
  <si>
    <t>Axis Cam Layout</t>
  </si>
  <si>
    <t>CAD Done</t>
  </si>
  <si>
    <t>CAD Submitted (CW)</t>
  </si>
  <si>
    <t>CAD Submitted (Colo)</t>
  </si>
  <si>
    <t>Proposal</t>
  </si>
  <si>
    <t>Proposal PO</t>
  </si>
  <si>
    <t>Local Office Reviewed</t>
  </si>
  <si>
    <t>Total Completion %</t>
  </si>
  <si>
    <t>Current Step</t>
  </si>
  <si>
    <t>Notes / Hold Reason</t>
  </si>
  <si>
    <t>US-ATL03</t>
  </si>
  <si>
    <t>180 Peachtree St, Atlanta, GA 30303, USA</t>
  </si>
  <si>
    <t>Atlanta</t>
  </si>
  <si>
    <t>GA</t>
  </si>
  <si>
    <t>ATL03</t>
  </si>
  <si>
    <t>TBD</t>
  </si>
  <si>
    <t>No PO</t>
  </si>
  <si>
    <t>Plans received</t>
  </si>
  <si>
    <t>RFI</t>
  </si>
  <si>
    <t>US-CHI01</t>
  </si>
  <si>
    <t>350 E Cermak Rd, Chicago, IL 60616, USA</t>
  </si>
  <si>
    <t>Chicago</t>
  </si>
  <si>
    <t>IL</t>
  </si>
  <si>
    <t>CHI01</t>
  </si>
  <si>
    <t>US-DAL01</t>
  </si>
  <si>
    <t>1990 N Stemmons Fwy, Dallas, TX 75207, USA</t>
  </si>
  <si>
    <t>Dallas</t>
  </si>
  <si>
    <t>TX</t>
  </si>
  <si>
    <t>DAL01</t>
  </si>
  <si>
    <t>On hold - CoreWeave: waiting for the previous integrator to exit before we can access the site. No drawings exist yet. Engineering proposal to be queued once site access opens up.</t>
  </si>
  <si>
    <t>US-DEN01</t>
  </si>
  <si>
    <t>910 15th St, Denver, CO 80202, USA</t>
  </si>
  <si>
    <t>Denver</t>
  </si>
  <si>
    <t>CO</t>
  </si>
  <si>
    <t>DEN01</t>
  </si>
  <si>
    <t>No plans</t>
  </si>
  <si>
    <t>Cage 0104</t>
  </si>
  <si>
    <t>0104</t>
  </si>
  <si>
    <t>CAGE</t>
  </si>
  <si>
    <t>US-LAX01</t>
  </si>
  <si>
    <t>624 S Grand Ave, Los Angeles, CA 90017, USA</t>
  </si>
  <si>
    <t>Los Angeles</t>
  </si>
  <si>
    <t>CA</t>
  </si>
  <si>
    <t>LAX01</t>
  </si>
  <si>
    <t>US-PHL01</t>
  </si>
  <si>
    <t>401 N Broad St, Philadelphia, PA 19108, USA</t>
  </si>
  <si>
    <t>Philadelphia</t>
  </si>
  <si>
    <t>PA</t>
  </si>
  <si>
    <t>PHL01</t>
  </si>
  <si>
    <t>PO Issued</t>
  </si>
  <si>
    <t>CAD Submitted Colo</t>
  </si>
  <si>
    <t>Waiting for Colo approval</t>
  </si>
  <si>
    <t>US-QAS01</t>
  </si>
  <si>
    <t>21715 Filigree Ct, Ashburn, VA 20147, USA</t>
  </si>
  <si>
    <t>Ashburn</t>
  </si>
  <si>
    <t>VA</t>
  </si>
  <si>
    <t>QAS01</t>
  </si>
  <si>
    <t>US-SEA01</t>
  </si>
  <si>
    <t>2001 6th Ave #300, Seattle, WA 98121, USA</t>
  </si>
  <si>
    <t>Seattle</t>
  </si>
  <si>
    <t>WA</t>
  </si>
  <si>
    <t>SEA01</t>
  </si>
  <si>
    <t>US-SJC01</t>
  </si>
  <si>
    <t>11 Great Oaks Blvd, San Jose, CA 95119, USA</t>
  </si>
  <si>
    <t>San Jose</t>
  </si>
  <si>
    <t>SJC01</t>
  </si>
  <si>
    <t>Waiting on ENG PO</t>
  </si>
  <si>
    <t>US-UYK01</t>
  </si>
  <si>
    <t>105 Enterprise Ave S, Secaucus, NJ 07094, USA</t>
  </si>
  <si>
    <t>Secaucus</t>
  </si>
  <si>
    <t>NJ</t>
  </si>
  <si>
    <t>UYK01</t>
  </si>
  <si>
    <t>US-CHI02</t>
  </si>
  <si>
    <t>350 E Cermak Road, Suite 355, Chicago, IL 60616, USA</t>
  </si>
  <si>
    <t>CHI02</t>
  </si>
  <si>
    <t>US-DAL02</t>
  </si>
  <si>
    <t>DAL02</t>
  </si>
  <si>
    <t>US-PDX01</t>
  </si>
  <si>
    <t>921 SW Washington St, Portland, OR 97205, USA</t>
  </si>
  <si>
    <t>Portland</t>
  </si>
  <si>
    <t>OR</t>
  </si>
  <si>
    <t>PDX01</t>
  </si>
  <si>
    <t>US-QTS01</t>
  </si>
  <si>
    <t>335 Inverness Dr S, Englewood, CO 80112, USA</t>
  </si>
  <si>
    <t>Englewood</t>
  </si>
  <si>
    <t>QTS01</t>
  </si>
  <si>
    <t>US-SEA02</t>
  </si>
  <si>
    <t>2001 6th Ave #350, Seattle, WA 98121, USA</t>
  </si>
  <si>
    <t>SEA02</t>
  </si>
  <si>
    <t>US-PLZ03</t>
  </si>
  <si>
    <t>8375 Dominion Pkwy, Plano, TX 75024, USA</t>
  </si>
  <si>
    <t>Plano</t>
  </si>
  <si>
    <t>PLZ03</t>
  </si>
  <si>
    <t>US-RNE01</t>
  </si>
  <si>
    <t>13600 Haslet Roanoke Rd, Roanoke, TX 76262, USA</t>
  </si>
  <si>
    <t>Roanoke</t>
  </si>
  <si>
    <t>RNE01</t>
  </si>
  <si>
    <t>Alliance Building</t>
  </si>
  <si>
    <t>US-HOU01</t>
  </si>
  <si>
    <t>660 Greens Pkwy, Houston, TX, USA</t>
  </si>
  <si>
    <t>Houston</t>
  </si>
  <si>
    <t>HOU01</t>
  </si>
  <si>
    <t>Stage scoring (0 / 5 / 10)</t>
  </si>
  <si>
    <t>0% (red)</t>
  </si>
  <si>
    <t>Nothing exists at this stage yet</t>
  </si>
  <si>
    <t>5% (yellow)</t>
  </si>
  <si>
    <t>Requested but not received — RFI sent, or pending someone else's approval</t>
  </si>
  <si>
    <t>10% (green)</t>
  </si>
  <si>
    <t>Received / complete</t>
  </si>
  <si>
    <t>PO status</t>
  </si>
  <si>
    <t>PO Issued (green)</t>
  </si>
  <si>
    <t>CoreWeave has issued a purchase order against this specific proposal</t>
  </si>
  <si>
    <t>No PO (red)</t>
  </si>
  <si>
    <t>No purchase order issued yet for this specific proposal</t>
  </si>
  <si>
    <t>Two proposals per site</t>
  </si>
  <si>
    <t>Engineering proposal</t>
  </si>
  <si>
    <t>Covers the design/CAD scope</t>
  </si>
  <si>
    <t>Installation proposal</t>
  </si>
  <si>
    <t>Covers the actual POP build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</si>
</sst>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\%"/>
  </numFmts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rgb="FF000000"/>
      <name val="Arial"/>
    </font>
    <font>
      <sz val="10.0"/>
      <color rgb="FF0000FF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1" fillId="0" fontId="4" numFmtId="164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F8CBCB"/>
          <bgColor rgb="FFF8CBCB"/>
        </patternFill>
      </fill>
      <border/>
    </dxf>
    <dxf>
      <font/>
      <fill>
        <patternFill patternType="solid">
          <fgColor rgb="FFFCE9A8"/>
          <bgColor rgb="FFFCE9A8"/>
        </patternFill>
      </fill>
      <border/>
    </dxf>
    <dxf>
      <font/>
      <fill>
        <patternFill patternType="solid">
          <fgColor rgb="FFC6E8C6"/>
          <bgColor rgb="FFC6E8C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14.0"/>
    <col customWidth="1" min="4" max="4" width="7.0"/>
    <col customWidth="1" min="5" max="5" width="11.0"/>
    <col customWidth="1" min="6" max="6" width="9.0"/>
    <col customWidth="1" min="7" max="7" width="13.0"/>
    <col customWidth="1" min="8" max="8" width="12.0"/>
    <col customWidth="1" min="9" max="9" width="14.0"/>
    <col customWidth="1" min="10" max="10" width="12.0"/>
    <col customWidth="1" min="11" max="20" width="9.0"/>
    <col customWidth="1" min="21" max="21" width="13.0"/>
    <col customWidth="1" min="22" max="22" width="18.0"/>
    <col customWidth="1" min="23" max="23" width="46.0"/>
    <col customWidth="1" min="24" max="26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30.0" customHeight="1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3">
        <v>301881.0</v>
      </c>
      <c r="H2" s="3" t="s">
        <v>29</v>
      </c>
      <c r="I2" s="3"/>
      <c r="J2" s="3" t="s">
        <v>29</v>
      </c>
      <c r="K2" s="4">
        <v>10.0</v>
      </c>
      <c r="L2" s="4">
        <v>5.0</v>
      </c>
      <c r="M2" s="4">
        <v>0.0</v>
      </c>
      <c r="N2" s="4">
        <v>0.0</v>
      </c>
      <c r="O2" s="4">
        <v>0.0</v>
      </c>
      <c r="P2" s="4">
        <v>0.0</v>
      </c>
      <c r="Q2" s="4">
        <v>0.0</v>
      </c>
      <c r="R2" s="4">
        <v>0.0</v>
      </c>
      <c r="S2" s="4">
        <v>0.0</v>
      </c>
      <c r="T2" s="4">
        <v>0.0</v>
      </c>
      <c r="U2" s="5">
        <f t="shared" ref="U2:U21" si="1">SUM(K2:T2)</f>
        <v>15</v>
      </c>
      <c r="V2" s="2" t="s">
        <v>30</v>
      </c>
      <c r="W2" s="6" t="s">
        <v>31</v>
      </c>
    </row>
    <row r="3" ht="30.0" customHeight="1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28</v>
      </c>
      <c r="G3" s="3">
        <v>301885.0</v>
      </c>
      <c r="H3" s="3" t="s">
        <v>29</v>
      </c>
      <c r="I3" s="3"/>
      <c r="J3" s="3" t="s">
        <v>29</v>
      </c>
      <c r="K3" s="4">
        <v>10.0</v>
      </c>
      <c r="L3" s="4">
        <v>5.0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  <c r="U3" s="5">
        <f t="shared" si="1"/>
        <v>15</v>
      </c>
      <c r="V3" s="2" t="s">
        <v>30</v>
      </c>
      <c r="W3" s="6" t="s">
        <v>31</v>
      </c>
    </row>
    <row r="4" ht="30.0" customHeight="1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28</v>
      </c>
      <c r="G4" s="3">
        <v>302561.0</v>
      </c>
      <c r="H4" s="3" t="s">
        <v>29</v>
      </c>
      <c r="I4" s="3"/>
      <c r="J4" s="3" t="s">
        <v>29</v>
      </c>
      <c r="K4" s="4">
        <v>10.0</v>
      </c>
      <c r="L4" s="4">
        <v>10.0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  <c r="T4" s="4">
        <v>0.0</v>
      </c>
      <c r="U4" s="5">
        <f t="shared" si="1"/>
        <v>20</v>
      </c>
      <c r="V4" s="2" t="s">
        <v>12</v>
      </c>
      <c r="W4" s="6" t="s">
        <v>42</v>
      </c>
    </row>
    <row r="5" ht="30.0" customHeight="1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28</v>
      </c>
      <c r="G5" s="3">
        <v>301887.0</v>
      </c>
      <c r="H5" s="3" t="s">
        <v>29</v>
      </c>
      <c r="I5" s="3"/>
      <c r="J5" s="3" t="s">
        <v>29</v>
      </c>
      <c r="K5" s="4">
        <v>10.0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  <c r="U5" s="5">
        <f t="shared" si="1"/>
        <v>10</v>
      </c>
      <c r="V5" s="2" t="s">
        <v>12</v>
      </c>
      <c r="W5" s="6" t="s">
        <v>48</v>
      </c>
    </row>
    <row r="6" ht="30.0" customHeight="1">
      <c r="A6" s="2" t="s">
        <v>49</v>
      </c>
      <c r="B6" s="2" t="s">
        <v>44</v>
      </c>
      <c r="C6" s="2" t="s">
        <v>45</v>
      </c>
      <c r="D6" s="2" t="s">
        <v>46</v>
      </c>
      <c r="E6" s="2" t="s">
        <v>50</v>
      </c>
      <c r="F6" s="2" t="s">
        <v>51</v>
      </c>
      <c r="G6" s="3">
        <v>301888.0</v>
      </c>
      <c r="H6" s="3" t="s">
        <v>29</v>
      </c>
      <c r="I6" s="3"/>
      <c r="J6" s="3" t="s">
        <v>29</v>
      </c>
      <c r="K6" s="4">
        <v>10.0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5">
        <f t="shared" si="1"/>
        <v>10</v>
      </c>
      <c r="V6" s="2" t="s">
        <v>12</v>
      </c>
      <c r="W6" s="6" t="s">
        <v>48</v>
      </c>
    </row>
    <row r="7" ht="30.0" customHeight="1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28</v>
      </c>
      <c r="G7" s="3">
        <v>301891.0</v>
      </c>
      <c r="H7" s="3" t="s">
        <v>29</v>
      </c>
      <c r="I7" s="3"/>
      <c r="J7" s="3" t="s">
        <v>29</v>
      </c>
      <c r="K7" s="4">
        <v>10.0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5">
        <f t="shared" si="1"/>
        <v>10</v>
      </c>
      <c r="V7" s="2" t="s">
        <v>12</v>
      </c>
      <c r="W7" s="6" t="s">
        <v>48</v>
      </c>
    </row>
    <row r="8" ht="30.0" customHeight="1">
      <c r="A8" s="2" t="s">
        <v>57</v>
      </c>
      <c r="B8" s="2" t="s">
        <v>58</v>
      </c>
      <c r="C8" s="2" t="s">
        <v>59</v>
      </c>
      <c r="D8" s="2" t="s">
        <v>60</v>
      </c>
      <c r="E8" s="2" t="s">
        <v>61</v>
      </c>
      <c r="F8" s="2" t="s">
        <v>28</v>
      </c>
      <c r="G8" s="3">
        <v>298526.0</v>
      </c>
      <c r="H8" s="3" t="s">
        <v>62</v>
      </c>
      <c r="I8" s="3">
        <v>286822.0</v>
      </c>
      <c r="J8" s="3" t="s">
        <v>62</v>
      </c>
      <c r="K8" s="4">
        <v>10.0</v>
      </c>
      <c r="L8" s="4">
        <v>10.0</v>
      </c>
      <c r="M8" s="4">
        <v>10.0</v>
      </c>
      <c r="N8" s="4">
        <v>10.0</v>
      </c>
      <c r="O8" s="4">
        <v>10.0</v>
      </c>
      <c r="P8" s="4">
        <v>10.0</v>
      </c>
      <c r="Q8" s="4">
        <v>5.0</v>
      </c>
      <c r="R8" s="4">
        <v>10.0</v>
      </c>
      <c r="S8" s="4">
        <v>10.0</v>
      </c>
      <c r="T8" s="4">
        <v>0.0</v>
      </c>
      <c r="U8" s="5">
        <f t="shared" si="1"/>
        <v>85</v>
      </c>
      <c r="V8" s="2" t="s">
        <v>63</v>
      </c>
      <c r="W8" s="6" t="s">
        <v>64</v>
      </c>
    </row>
    <row r="9" ht="30.0" customHeight="1">
      <c r="A9" s="2" t="s">
        <v>65</v>
      </c>
      <c r="B9" s="2" t="s">
        <v>66</v>
      </c>
      <c r="C9" s="2" t="s">
        <v>67</v>
      </c>
      <c r="D9" s="2" t="s">
        <v>68</v>
      </c>
      <c r="E9" s="2" t="s">
        <v>69</v>
      </c>
      <c r="F9" s="2" t="s">
        <v>28</v>
      </c>
      <c r="G9" s="3">
        <v>301893.0</v>
      </c>
      <c r="H9" s="3" t="s">
        <v>29</v>
      </c>
      <c r="I9" s="3"/>
      <c r="J9" s="3" t="s">
        <v>29</v>
      </c>
      <c r="K9" s="4">
        <v>10.0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  <c r="T9" s="4">
        <v>0.0</v>
      </c>
      <c r="U9" s="5">
        <f t="shared" si="1"/>
        <v>10</v>
      </c>
      <c r="V9" s="2" t="s">
        <v>12</v>
      </c>
      <c r="W9" s="6" t="s">
        <v>48</v>
      </c>
    </row>
    <row r="10" ht="30.0" customHeight="1">
      <c r="A10" s="2" t="s">
        <v>70</v>
      </c>
      <c r="B10" s="2" t="s">
        <v>71</v>
      </c>
      <c r="C10" s="2" t="s">
        <v>72</v>
      </c>
      <c r="D10" s="2" t="s">
        <v>73</v>
      </c>
      <c r="E10" s="2" t="s">
        <v>74</v>
      </c>
      <c r="F10" s="2" t="s">
        <v>28</v>
      </c>
      <c r="G10" s="3">
        <v>302636.0</v>
      </c>
      <c r="H10" s="3" t="s">
        <v>29</v>
      </c>
      <c r="I10" s="3"/>
      <c r="J10" s="3" t="s">
        <v>29</v>
      </c>
      <c r="K10" s="4">
        <v>10.0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  <c r="U10" s="5">
        <f t="shared" si="1"/>
        <v>10</v>
      </c>
      <c r="V10" s="2" t="s">
        <v>12</v>
      </c>
      <c r="W10" s="6" t="s">
        <v>48</v>
      </c>
    </row>
    <row r="11" ht="30.0" customHeight="1">
      <c r="A11" s="2" t="s">
        <v>75</v>
      </c>
      <c r="B11" s="2" t="s">
        <v>76</v>
      </c>
      <c r="C11" s="2" t="s">
        <v>77</v>
      </c>
      <c r="D11" s="2" t="s">
        <v>55</v>
      </c>
      <c r="E11" s="2" t="s">
        <v>78</v>
      </c>
      <c r="F11" s="2" t="s">
        <v>28</v>
      </c>
      <c r="G11" s="3">
        <v>302565.0</v>
      </c>
      <c r="H11" s="3" t="s">
        <v>29</v>
      </c>
      <c r="I11" s="3"/>
      <c r="J11" s="3" t="s">
        <v>29</v>
      </c>
      <c r="K11" s="4">
        <v>10.0</v>
      </c>
      <c r="L11" s="4">
        <v>10.0</v>
      </c>
      <c r="M11" s="4">
        <v>0.0</v>
      </c>
      <c r="N11" s="4">
        <v>5.0</v>
      </c>
      <c r="O11" s="4">
        <v>5.0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5">
        <f t="shared" si="1"/>
        <v>30</v>
      </c>
      <c r="V11" s="7" t="s">
        <v>12</v>
      </c>
      <c r="W11" s="8" t="s">
        <v>79</v>
      </c>
    </row>
    <row r="12" ht="30.0" customHeight="1">
      <c r="A12" s="2" t="s">
        <v>80</v>
      </c>
      <c r="B12" s="2" t="s">
        <v>81</v>
      </c>
      <c r="C12" s="2" t="s">
        <v>82</v>
      </c>
      <c r="D12" s="2" t="s">
        <v>83</v>
      </c>
      <c r="E12" s="2" t="s">
        <v>84</v>
      </c>
      <c r="F12" s="2" t="s">
        <v>28</v>
      </c>
      <c r="G12" s="3">
        <v>302568.0</v>
      </c>
      <c r="H12" s="3" t="s">
        <v>29</v>
      </c>
      <c r="I12" s="3"/>
      <c r="J12" s="3" t="s">
        <v>29</v>
      </c>
      <c r="K12" s="4">
        <v>10.0</v>
      </c>
      <c r="L12" s="4">
        <v>5.0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5">
        <f t="shared" si="1"/>
        <v>15</v>
      </c>
      <c r="V12" s="2" t="s">
        <v>30</v>
      </c>
      <c r="W12" s="6" t="s">
        <v>31</v>
      </c>
    </row>
    <row r="13" ht="30.0" customHeight="1">
      <c r="A13" s="2" t="s">
        <v>85</v>
      </c>
      <c r="B13" s="2" t="s">
        <v>86</v>
      </c>
      <c r="C13" s="2" t="s">
        <v>34</v>
      </c>
      <c r="D13" s="2" t="s">
        <v>35</v>
      </c>
      <c r="E13" s="2" t="s">
        <v>87</v>
      </c>
      <c r="F13" s="2" t="s">
        <v>28</v>
      </c>
      <c r="G13" s="3">
        <v>302638.0</v>
      </c>
      <c r="H13" s="3" t="s">
        <v>29</v>
      </c>
      <c r="I13" s="3"/>
      <c r="J13" s="3" t="s">
        <v>29</v>
      </c>
      <c r="K13" s="4">
        <v>10.0</v>
      </c>
      <c r="L13" s="4">
        <v>5.0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5">
        <f t="shared" si="1"/>
        <v>15</v>
      </c>
      <c r="V13" s="2" t="s">
        <v>30</v>
      </c>
      <c r="W13" s="6" t="s">
        <v>31</v>
      </c>
    </row>
    <row r="14" ht="30.0" customHeight="1">
      <c r="A14" s="2" t="s">
        <v>88</v>
      </c>
      <c r="B14" s="2" t="s">
        <v>38</v>
      </c>
      <c r="C14" s="2" t="s">
        <v>39</v>
      </c>
      <c r="D14" s="2" t="s">
        <v>40</v>
      </c>
      <c r="E14" s="2" t="s">
        <v>89</v>
      </c>
      <c r="F14" s="2" t="s">
        <v>28</v>
      </c>
      <c r="G14" s="3">
        <v>301877.0</v>
      </c>
      <c r="H14" s="3" t="s">
        <v>29</v>
      </c>
      <c r="I14" s="3">
        <v>286824.1</v>
      </c>
      <c r="J14" s="3" t="s">
        <v>62</v>
      </c>
      <c r="K14" s="4">
        <v>10.0</v>
      </c>
      <c r="L14" s="4">
        <v>10.0</v>
      </c>
      <c r="M14" s="4">
        <v>0.0</v>
      </c>
      <c r="N14" s="4">
        <v>10.0</v>
      </c>
      <c r="O14" s="4">
        <v>10.0</v>
      </c>
      <c r="P14" s="4">
        <v>0.0</v>
      </c>
      <c r="Q14" s="4">
        <v>0.0</v>
      </c>
      <c r="R14" s="4">
        <v>10.0</v>
      </c>
      <c r="S14" s="4">
        <v>10.0</v>
      </c>
      <c r="T14" s="4">
        <v>0.0</v>
      </c>
      <c r="U14" s="5">
        <f t="shared" si="1"/>
        <v>60</v>
      </c>
      <c r="V14" s="2" t="s">
        <v>12</v>
      </c>
      <c r="W14" s="8" t="s">
        <v>79</v>
      </c>
    </row>
    <row r="15" ht="30.0" customHeight="1">
      <c r="A15" s="2" t="s">
        <v>90</v>
      </c>
      <c r="B15" s="2" t="s">
        <v>91</v>
      </c>
      <c r="C15" s="2" t="s">
        <v>92</v>
      </c>
      <c r="D15" s="2" t="s">
        <v>93</v>
      </c>
      <c r="E15" s="2" t="s">
        <v>94</v>
      </c>
      <c r="F15" s="2" t="s">
        <v>28</v>
      </c>
      <c r="G15" s="3">
        <v>302571.0</v>
      </c>
      <c r="H15" s="3" t="s">
        <v>29</v>
      </c>
      <c r="I15" s="3"/>
      <c r="J15" s="3" t="s">
        <v>29</v>
      </c>
      <c r="K15" s="4">
        <v>10.0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5">
        <f t="shared" si="1"/>
        <v>10</v>
      </c>
      <c r="V15" s="2" t="s">
        <v>12</v>
      </c>
      <c r="W15" s="6" t="s">
        <v>48</v>
      </c>
    </row>
    <row r="16" ht="30.0" customHeight="1">
      <c r="A16" s="2" t="s">
        <v>95</v>
      </c>
      <c r="B16" s="2" t="s">
        <v>96</v>
      </c>
      <c r="C16" s="2" t="s">
        <v>97</v>
      </c>
      <c r="D16" s="2" t="s">
        <v>46</v>
      </c>
      <c r="E16" s="2" t="s">
        <v>98</v>
      </c>
      <c r="F16" s="2" t="s">
        <v>28</v>
      </c>
      <c r="G16" s="3">
        <v>302584.0</v>
      </c>
      <c r="H16" s="3" t="s">
        <v>29</v>
      </c>
      <c r="I16" s="3"/>
      <c r="J16" s="3" t="s">
        <v>29</v>
      </c>
      <c r="K16" s="4">
        <v>10.0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5">
        <f t="shared" si="1"/>
        <v>10</v>
      </c>
      <c r="V16" s="2" t="s">
        <v>12</v>
      </c>
      <c r="W16" s="6" t="s">
        <v>48</v>
      </c>
    </row>
    <row r="17" ht="30.0" customHeight="1">
      <c r="A17" s="2" t="s">
        <v>99</v>
      </c>
      <c r="B17" s="2" t="s">
        <v>100</v>
      </c>
      <c r="C17" s="2" t="s">
        <v>72</v>
      </c>
      <c r="D17" s="2" t="s">
        <v>73</v>
      </c>
      <c r="E17" s="2" t="s">
        <v>101</v>
      </c>
      <c r="F17" s="2" t="s">
        <v>28</v>
      </c>
      <c r="G17" s="3">
        <v>302637.0</v>
      </c>
      <c r="H17" s="3" t="s">
        <v>29</v>
      </c>
      <c r="I17" s="3"/>
      <c r="J17" s="3" t="s">
        <v>29</v>
      </c>
      <c r="K17" s="4">
        <v>10.0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5">
        <f t="shared" si="1"/>
        <v>10</v>
      </c>
      <c r="V17" s="2" t="s">
        <v>12</v>
      </c>
      <c r="W17" s="6" t="s">
        <v>48</v>
      </c>
    </row>
    <row r="18" ht="30.0" customHeight="1">
      <c r="A18" s="2" t="s">
        <v>102</v>
      </c>
      <c r="B18" s="2" t="s">
        <v>103</v>
      </c>
      <c r="C18" s="2" t="s">
        <v>104</v>
      </c>
      <c r="D18" s="2" t="s">
        <v>40</v>
      </c>
      <c r="E18" s="2" t="s">
        <v>105</v>
      </c>
      <c r="F18" s="2" t="s">
        <v>28</v>
      </c>
      <c r="G18" s="3">
        <v>302586.0</v>
      </c>
      <c r="H18" s="3" t="s">
        <v>29</v>
      </c>
      <c r="I18" s="3"/>
      <c r="J18" s="3" t="s">
        <v>29</v>
      </c>
      <c r="K18" s="4">
        <v>10.0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5">
        <f t="shared" si="1"/>
        <v>10</v>
      </c>
      <c r="V18" s="2" t="s">
        <v>12</v>
      </c>
      <c r="W18" s="6" t="s">
        <v>48</v>
      </c>
    </row>
    <row r="19" ht="30.0" customHeight="1">
      <c r="A19" s="2" t="s">
        <v>106</v>
      </c>
      <c r="B19" s="2" t="s">
        <v>107</v>
      </c>
      <c r="C19" s="2" t="s">
        <v>108</v>
      </c>
      <c r="D19" s="2" t="s">
        <v>40</v>
      </c>
      <c r="E19" s="2" t="s">
        <v>109</v>
      </c>
      <c r="F19" s="2" t="s">
        <v>28</v>
      </c>
      <c r="G19" s="3">
        <v>302589.0</v>
      </c>
      <c r="H19" s="3" t="s">
        <v>29</v>
      </c>
      <c r="I19" s="3"/>
      <c r="J19" s="3" t="s">
        <v>29</v>
      </c>
      <c r="K19" s="4">
        <v>10.0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5">
        <f t="shared" si="1"/>
        <v>10</v>
      </c>
      <c r="V19" s="2" t="s">
        <v>12</v>
      </c>
      <c r="W19" s="6" t="s">
        <v>48</v>
      </c>
    </row>
    <row r="20" ht="30.0" customHeight="1">
      <c r="A20" s="2" t="s">
        <v>110</v>
      </c>
      <c r="B20" s="2" t="s">
        <v>107</v>
      </c>
      <c r="C20" s="2" t="s">
        <v>108</v>
      </c>
      <c r="D20" s="2" t="s">
        <v>40</v>
      </c>
      <c r="E20" s="2"/>
      <c r="F20" s="2" t="s">
        <v>28</v>
      </c>
      <c r="G20" s="3">
        <v>302595.0</v>
      </c>
      <c r="H20" s="3" t="s">
        <v>29</v>
      </c>
      <c r="I20" s="3"/>
      <c r="J20" s="3" t="s">
        <v>29</v>
      </c>
      <c r="K20" s="4">
        <v>10.0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5">
        <f t="shared" si="1"/>
        <v>10</v>
      </c>
      <c r="V20" s="2" t="s">
        <v>12</v>
      </c>
      <c r="W20" s="6" t="s">
        <v>48</v>
      </c>
    </row>
    <row r="21" ht="30.0" customHeight="1">
      <c r="A21" s="2" t="s">
        <v>111</v>
      </c>
      <c r="B21" s="2" t="s">
        <v>112</v>
      </c>
      <c r="C21" s="2" t="s">
        <v>113</v>
      </c>
      <c r="D21" s="2" t="s">
        <v>40</v>
      </c>
      <c r="E21" s="2" t="s">
        <v>114</v>
      </c>
      <c r="F21" s="2" t="s">
        <v>28</v>
      </c>
      <c r="G21" s="3">
        <v>302599.0</v>
      </c>
      <c r="H21" s="3" t="s">
        <v>29</v>
      </c>
      <c r="I21" s="3"/>
      <c r="J21" s="3" t="s">
        <v>29</v>
      </c>
      <c r="K21" s="4">
        <v>10.0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5">
        <f t="shared" si="1"/>
        <v>10</v>
      </c>
      <c r="V21" s="2" t="s">
        <v>12</v>
      </c>
      <c r="W21" s="6" t="s">
        <v>48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2:T21">
    <cfRule type="cellIs" dxfId="0" priority="1" operator="equal">
      <formula>0</formula>
    </cfRule>
  </conditionalFormatting>
  <conditionalFormatting sqref="K2:T21">
    <cfRule type="cellIs" dxfId="1" priority="2" operator="equal">
      <formula>5</formula>
    </cfRule>
  </conditionalFormatting>
  <conditionalFormatting sqref="K2:T21">
    <cfRule type="cellIs" dxfId="2" priority="3" operator="equal">
      <formula>10</formula>
    </cfRule>
  </conditionalFormatting>
  <conditionalFormatting sqref="H2:H21">
    <cfRule type="cellIs" dxfId="2" priority="4" operator="equal">
      <formula>"PO Issued"</formula>
    </cfRule>
  </conditionalFormatting>
  <conditionalFormatting sqref="H2:H21">
    <cfRule type="cellIs" dxfId="0" priority="5" operator="equal">
      <formula>"No PO"</formula>
    </cfRule>
  </conditionalFormatting>
  <conditionalFormatting sqref="J2:J21">
    <cfRule type="cellIs" dxfId="2" priority="6" operator="equal">
      <formula>"PO Issued"</formula>
    </cfRule>
  </conditionalFormatting>
  <conditionalFormatting sqref="J2:J21">
    <cfRule type="cellIs" dxfId="0" priority="7" operator="equal">
      <formula>"No PO"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70.0"/>
    <col customWidth="1" min="3" max="26" width="8.71"/>
  </cols>
  <sheetData>
    <row r="1">
      <c r="A1" s="9" t="s">
        <v>115</v>
      </c>
      <c r="B1" s="10"/>
    </row>
    <row r="2">
      <c r="A2" s="9" t="s">
        <v>116</v>
      </c>
      <c r="B2" s="10" t="s">
        <v>117</v>
      </c>
    </row>
    <row r="3">
      <c r="A3" s="9" t="s">
        <v>118</v>
      </c>
      <c r="B3" s="10" t="s">
        <v>119</v>
      </c>
    </row>
    <row r="4">
      <c r="A4" s="9" t="s">
        <v>120</v>
      </c>
      <c r="B4" s="10" t="s">
        <v>121</v>
      </c>
    </row>
    <row r="5">
      <c r="A5" s="9"/>
      <c r="B5" s="10"/>
    </row>
    <row r="6">
      <c r="A6" s="9" t="s">
        <v>122</v>
      </c>
      <c r="B6" s="10"/>
    </row>
    <row r="7">
      <c r="A7" s="9" t="s">
        <v>123</v>
      </c>
      <c r="B7" s="10" t="s">
        <v>124</v>
      </c>
    </row>
    <row r="8">
      <c r="A8" s="9" t="s">
        <v>125</v>
      </c>
      <c r="B8" s="10" t="s">
        <v>126</v>
      </c>
    </row>
    <row r="9">
      <c r="A9" s="9"/>
      <c r="B9" s="10"/>
    </row>
    <row r="10">
      <c r="A10" s="9" t="s">
        <v>127</v>
      </c>
      <c r="B10" s="10"/>
    </row>
    <row r="11">
      <c r="A11" s="9" t="s">
        <v>128</v>
      </c>
      <c r="B11" s="10" t="s">
        <v>129</v>
      </c>
    </row>
    <row r="12">
      <c r="A12" s="9" t="s">
        <v>130</v>
      </c>
      <c r="B12" s="10" t="s">
        <v>131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